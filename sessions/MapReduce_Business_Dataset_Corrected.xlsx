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bhisheksarkar/Downloads/"/>
    </mc:Choice>
  </mc:AlternateContent>
  <xr:revisionPtr revIDLastSave="0" documentId="11_EAE738B8D8B9648FBCA21ADFACE8F77F5132A96E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1_Raw_Data" sheetId="1" r:id="rId1"/>
    <sheet name="2_Map" sheetId="2" r:id="rId2"/>
    <sheet name="3_Shuffle" sheetId="3" r:id="rId3"/>
    <sheet name="4_Reduce" sheetId="4" r:id="rId4"/>
    <sheet name="5_Explan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4" l="1"/>
  <c r="C8" i="4"/>
  <c r="B8" i="4"/>
  <c r="D7" i="4"/>
  <c r="C7" i="4"/>
  <c r="B7" i="4"/>
  <c r="D6" i="4"/>
  <c r="C6" i="4"/>
  <c r="B6" i="4"/>
  <c r="D5" i="4"/>
  <c r="C5" i="4"/>
  <c r="B5" i="4"/>
  <c r="C28" i="2"/>
  <c r="B28" i="2"/>
  <c r="A28" i="2"/>
  <c r="C27" i="2"/>
  <c r="B27" i="2"/>
  <c r="A27" i="2"/>
  <c r="C26" i="2"/>
  <c r="B26" i="2"/>
  <c r="A26" i="2"/>
  <c r="C25" i="2"/>
  <c r="B25" i="2"/>
  <c r="A25" i="2"/>
  <c r="C24" i="2"/>
  <c r="B24" i="2"/>
  <c r="A24" i="2"/>
  <c r="D23" i="2"/>
  <c r="B23" i="2"/>
  <c r="A23" i="2"/>
  <c r="B22" i="2"/>
  <c r="A22" i="2"/>
  <c r="B21" i="2"/>
  <c r="A21" i="2"/>
  <c r="B20" i="2"/>
  <c r="A20" i="2"/>
  <c r="C19" i="2"/>
  <c r="B19" i="2"/>
  <c r="A19" i="2"/>
  <c r="C18" i="2"/>
  <c r="B18" i="2"/>
  <c r="A18" i="2"/>
  <c r="C17" i="2"/>
  <c r="B17" i="2"/>
  <c r="A17" i="2"/>
  <c r="C16" i="2"/>
  <c r="B16" i="2"/>
  <c r="A16" i="2"/>
  <c r="C15" i="2"/>
  <c r="B15" i="2"/>
  <c r="A15" i="2"/>
  <c r="D14" i="2"/>
  <c r="B14" i="2"/>
  <c r="A14" i="2"/>
  <c r="B13" i="2"/>
  <c r="A13" i="2"/>
  <c r="B12" i="2"/>
  <c r="A12" i="2"/>
  <c r="B11" i="2"/>
  <c r="A11" i="2"/>
  <c r="C10" i="2"/>
  <c r="B10" i="2"/>
  <c r="A10" i="2"/>
  <c r="C9" i="2"/>
  <c r="B9" i="2"/>
  <c r="A9" i="2"/>
  <c r="C8" i="2"/>
  <c r="B8" i="2"/>
  <c r="A8" i="2"/>
  <c r="C7" i="2"/>
  <c r="B7" i="2"/>
  <c r="A7" i="2"/>
  <c r="C6" i="2"/>
  <c r="B6" i="2"/>
  <c r="A6" i="2"/>
  <c r="B5" i="2"/>
  <c r="A5" i="2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8" i="4" l="1"/>
  <c r="E8" i="4"/>
  <c r="E6" i="4"/>
  <c r="G5" i="4"/>
  <c r="D25" i="2"/>
  <c r="C23" i="2"/>
  <c r="E23" i="2" s="1"/>
  <c r="D22" i="2"/>
  <c r="C22" i="2"/>
  <c r="E22" i="2" s="1"/>
  <c r="D21" i="2"/>
  <c r="C21" i="2"/>
  <c r="E21" i="2" s="1"/>
  <c r="D20" i="2"/>
  <c r="C20" i="2"/>
  <c r="E20" i="2" s="1"/>
  <c r="E19" i="2"/>
  <c r="D19" i="2"/>
  <c r="F19" i="2" s="1"/>
  <c r="E18" i="2"/>
  <c r="D18" i="2"/>
  <c r="F18" i="2" s="1"/>
  <c r="E17" i="2"/>
  <c r="D17" i="2"/>
  <c r="F17" i="2" s="1"/>
  <c r="E16" i="2"/>
  <c r="D16" i="2"/>
  <c r="F16" i="2" s="1"/>
  <c r="E15" i="2"/>
  <c r="D15" i="2"/>
  <c r="F15" i="2" s="1"/>
  <c r="E7" i="4"/>
  <c r="D28" i="2"/>
  <c r="E26" i="2"/>
  <c r="D26" i="2"/>
  <c r="F26" i="2" s="1"/>
  <c r="E25" i="2"/>
  <c r="E24" i="2"/>
  <c r="C14" i="2"/>
  <c r="E14" i="2" s="1"/>
  <c r="D13" i="2"/>
  <c r="C13" i="2"/>
  <c r="E13" i="2" s="1"/>
  <c r="D12" i="2"/>
  <c r="F12" i="2" s="1"/>
  <c r="C12" i="2"/>
  <c r="E12" i="2" s="1"/>
  <c r="D11" i="2"/>
  <c r="C11" i="2"/>
  <c r="E11" i="2" s="1"/>
  <c r="E10" i="2"/>
  <c r="D10" i="2"/>
  <c r="F10" i="2" s="1"/>
  <c r="E9" i="2"/>
  <c r="D9" i="2"/>
  <c r="F9" i="2" s="1"/>
  <c r="E8" i="2"/>
  <c r="D8" i="2"/>
  <c r="F8" i="2" s="1"/>
  <c r="E7" i="2"/>
  <c r="D7" i="2"/>
  <c r="F7" i="2" s="1"/>
  <c r="E6" i="2"/>
  <c r="D6" i="2"/>
  <c r="F6" i="2" s="1"/>
  <c r="G7" i="4"/>
  <c r="E28" i="2"/>
  <c r="E27" i="2"/>
  <c r="D24" i="2"/>
  <c r="F24" i="2" s="1"/>
  <c r="D5" i="2"/>
  <c r="C5" i="2"/>
  <c r="E5" i="2" s="1"/>
  <c r="G6" i="4"/>
  <c r="E5" i="4"/>
  <c r="D27" i="2"/>
  <c r="F27" i="2" s="1"/>
  <c r="F28" i="2" l="1"/>
  <c r="F5" i="2"/>
  <c r="F25" i="2"/>
  <c r="F23" i="2"/>
  <c r="F22" i="2"/>
  <c r="F21" i="2"/>
  <c r="F20" i="2"/>
  <c r="F14" i="2"/>
  <c r="F13" i="2"/>
  <c r="F11" i="2"/>
</calcChain>
</file>

<file path=xl/sharedStrings.xml><?xml version="1.0" encoding="utf-8"?>
<sst xmlns="http://schemas.openxmlformats.org/spreadsheetml/2006/main" count="223" uniqueCount="89">
  <si>
    <t>INPUT DATA — Individual Sales Transactions</t>
  </si>
  <si>
    <t>Transaction_ID</t>
  </si>
  <si>
    <t>Date</t>
  </si>
  <si>
    <t>City</t>
  </si>
  <si>
    <t>Category</t>
  </si>
  <si>
    <t>Units</t>
  </si>
  <si>
    <t>Unit_Price</t>
  </si>
  <si>
    <t>Sales_Amount</t>
  </si>
  <si>
    <t>Payment_Mode</t>
  </si>
  <si>
    <t>TXN001</t>
  </si>
  <si>
    <t>Mumbai</t>
  </si>
  <si>
    <t>Electronics</t>
  </si>
  <si>
    <t>UPI</t>
  </si>
  <si>
    <t>TXN002</t>
  </si>
  <si>
    <t>Delhi</t>
  </si>
  <si>
    <t>Clothing</t>
  </si>
  <si>
    <t>Card</t>
  </si>
  <si>
    <t>TXN003</t>
  </si>
  <si>
    <t>Grocery</t>
  </si>
  <si>
    <t>Cash</t>
  </si>
  <si>
    <t>TXN004</t>
  </si>
  <si>
    <t>Bengaluru</t>
  </si>
  <si>
    <t>Home</t>
  </si>
  <si>
    <t>TXN005</t>
  </si>
  <si>
    <t>TXN006</t>
  </si>
  <si>
    <t>Chennai</t>
  </si>
  <si>
    <t>TXN007</t>
  </si>
  <si>
    <t>Wallet</t>
  </si>
  <si>
    <t>TXN008</t>
  </si>
  <si>
    <t>TXN009</t>
  </si>
  <si>
    <t>TXN010</t>
  </si>
  <si>
    <t>TXN011</t>
  </si>
  <si>
    <t>TXN012</t>
  </si>
  <si>
    <t>TXN013</t>
  </si>
  <si>
    <t>TXN014</t>
  </si>
  <si>
    <t>TXN015</t>
  </si>
  <si>
    <t>TXN016</t>
  </si>
  <si>
    <t>TXN017</t>
  </si>
  <si>
    <t>TXN018</t>
  </si>
  <si>
    <t>TXN019</t>
  </si>
  <si>
    <t>TXN020</t>
  </si>
  <si>
    <t>TXN021</t>
  </si>
  <si>
    <t>TXN022</t>
  </si>
  <si>
    <t>TXN023</t>
  </si>
  <si>
    <t>TXN024</t>
  </si>
  <si>
    <t>MAP — Turn Each Transaction into City → Sales Amount</t>
  </si>
  <si>
    <t>Original_City</t>
  </si>
  <si>
    <t>Original_Sales</t>
  </si>
  <si>
    <t>Map_Key</t>
  </si>
  <si>
    <t>Map_Value</t>
  </si>
  <si>
    <t>Map_Output</t>
  </si>
  <si>
    <t>SHUFFLE — Same City Keys Grouped Together</t>
  </si>
  <si>
    <t>City_Key</t>
  </si>
  <si>
    <t>Sales_Value</t>
  </si>
  <si>
    <t>Source_Transaction</t>
  </si>
  <si>
    <t>What Happened</t>
  </si>
  <si>
    <t>Grouped under Bengaluru</t>
  </si>
  <si>
    <t>Grouped under Chennai</t>
  </si>
  <si>
    <t>Grouped under Delhi</t>
  </si>
  <si>
    <t>Grouped under Mumbai</t>
  </si>
  <si>
    <t>REDUCE — One Final Business Result per City</t>
  </si>
  <si>
    <t>Total_Sales</t>
  </si>
  <si>
    <t>Order_Count</t>
  </si>
  <si>
    <t>Total_Units</t>
  </si>
  <si>
    <t>Average_Order_Value</t>
  </si>
  <si>
    <t>Expected_Total</t>
  </si>
  <si>
    <t>Check</t>
  </si>
  <si>
    <t>Every row should show CORRECT. The Expected_Total column was independently calculated from the raw dataset.</t>
  </si>
  <si>
    <t>How to Read This Workbook</t>
  </si>
  <si>
    <t>Stage</t>
  </si>
  <si>
    <t>Business Meaning</t>
  </si>
  <si>
    <t>Example</t>
  </si>
  <si>
    <t>Where to See It</t>
  </si>
  <si>
    <t>Input</t>
  </si>
  <si>
    <t>Individual sales bills</t>
  </si>
  <si>
    <t>Mumbai sale of ₹5,000</t>
  </si>
  <si>
    <t>1_Raw_Data</t>
  </si>
  <si>
    <t>Map</t>
  </si>
  <si>
    <t>Label each bill by city</t>
  </si>
  <si>
    <t>Mumbai → ₹5,000</t>
  </si>
  <si>
    <t>2_Map</t>
  </si>
  <si>
    <t>Shuffle</t>
  </si>
  <si>
    <t>Put all Mumbai bills together</t>
  </si>
  <si>
    <t>Mumbai values appear together</t>
  </si>
  <si>
    <t>3_Shuffle</t>
  </si>
  <si>
    <t>Reduce</t>
  </si>
  <si>
    <t>Add all Mumbai bills</t>
  </si>
  <si>
    <t>Mumbai total sales</t>
  </si>
  <si>
    <t>4_Reduce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</si>
</sst>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7F6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2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SalesTable" displayName="RawSalesTable" ref="A4:H28">
  <tableColumns count="8">
    <tableColumn id="1" xr3:uid="{00000000-0010-0000-0000-000001000000}" name="Transaction_ID"/>
    <tableColumn id="2" xr3:uid="{00000000-0010-0000-0000-000002000000}" name="Date"/>
    <tableColumn id="3" xr3:uid="{00000000-0010-0000-0000-000003000000}" name="City"/>
    <tableColumn id="4" xr3:uid="{00000000-0010-0000-0000-000004000000}" name="Category"/>
    <tableColumn id="5" xr3:uid="{00000000-0010-0000-0000-000005000000}" name="Units"/>
    <tableColumn id="6" xr3:uid="{00000000-0010-0000-0000-000006000000}" name="Unit_Price"/>
    <tableColumn id="7" xr3:uid="{00000000-0010-0000-0000-000007000000}" name="Sales_Amount"/>
    <tableColumn id="8" xr3:uid="{00000000-0010-0000-0000-000008000000}" name="Payment_M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pTable" displayName="MapTable" ref="A4:F28">
  <tableColumns count="6">
    <tableColumn id="1" xr3:uid="{00000000-0010-0000-0100-000001000000}" name="Transaction_ID"/>
    <tableColumn id="2" xr3:uid="{00000000-0010-0000-0100-000002000000}" name="Original_City"/>
    <tableColumn id="3" xr3:uid="{00000000-0010-0000-0100-000003000000}" name="Original_Sales"/>
    <tableColumn id="4" xr3:uid="{00000000-0010-0000-0100-000004000000}" name="Map_Key"/>
    <tableColumn id="5" xr3:uid="{00000000-0010-0000-0100-000005000000}" name="Map_Value"/>
    <tableColumn id="6" xr3:uid="{00000000-0010-0000-0100-000006000000}" name="Map_Outpu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huffleTable" displayName="ShuffleTable" ref="A4:D28">
  <tableColumns count="4">
    <tableColumn id="1" xr3:uid="{00000000-0010-0000-0200-000001000000}" name="City_Key"/>
    <tableColumn id="2" xr3:uid="{00000000-0010-0000-0200-000002000000}" name="Sales_Value"/>
    <tableColumn id="3" xr3:uid="{00000000-0010-0000-0200-000003000000}" name="Source_Transaction"/>
    <tableColumn id="4" xr3:uid="{00000000-0010-0000-0200-000004000000}" name="What Happen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duceTable" displayName="ReduceTable" ref="A4:G8">
  <tableColumns count="7">
    <tableColumn id="1" xr3:uid="{00000000-0010-0000-0300-000001000000}" name="City"/>
    <tableColumn id="2" xr3:uid="{00000000-0010-0000-0300-000002000000}" name="Total_Sales"/>
    <tableColumn id="3" xr3:uid="{00000000-0010-0000-0300-000003000000}" name="Order_Count"/>
    <tableColumn id="4" xr3:uid="{00000000-0010-0000-0300-000004000000}" name="Total_Units"/>
    <tableColumn id="5" xr3:uid="{00000000-0010-0000-0300-000005000000}" name="Average_Order_Value"/>
    <tableColumn id="6" xr3:uid="{00000000-0010-0000-0300-000006000000}" name="Expected_Total"/>
    <tableColumn id="7" xr3:uid="{00000000-0010-0000-0300-000007000000}" name="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D20" sqref="D20"/>
    </sheetView>
  </sheetViews>
  <sheetFormatPr baseColWidth="10" defaultColWidth="8.83203125" defaultRowHeight="14"/>
  <cols>
    <col min="1" max="1" width="15" customWidth="1"/>
    <col min="2" max="3" width="14" customWidth="1"/>
    <col min="4" max="4" width="17" customWidth="1"/>
    <col min="5" max="5" width="10" customWidth="1"/>
    <col min="6" max="6" width="14" customWidth="1"/>
    <col min="7" max="8" width="15" customWidth="1"/>
  </cols>
  <sheetData>
    <row r="1" spans="1:8">
      <c r="A1" s="4" t="s">
        <v>0</v>
      </c>
      <c r="B1" s="4"/>
      <c r="C1" s="4"/>
      <c r="D1" s="4"/>
      <c r="E1" s="4"/>
      <c r="F1" s="4"/>
      <c r="G1" s="4"/>
      <c r="H1" s="4"/>
    </row>
    <row r="2" spans="1:8">
      <c r="A2" s="4"/>
      <c r="B2" s="4"/>
      <c r="C2" s="4"/>
      <c r="D2" s="4"/>
      <c r="E2" s="4"/>
      <c r="F2" s="4"/>
      <c r="G2" s="4"/>
      <c r="H2" s="4"/>
    </row>
    <row r="4" spans="1:8" ht="1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>
      <c r="A5" t="s">
        <v>9</v>
      </c>
      <c r="B5" s="2">
        <v>46204</v>
      </c>
      <c r="C5" t="s">
        <v>10</v>
      </c>
      <c r="D5" t="s">
        <v>11</v>
      </c>
      <c r="E5">
        <v>2</v>
      </c>
      <c r="F5" s="3">
        <v>2500</v>
      </c>
      <c r="G5" s="3">
        <f t="shared" ref="G5:G28" si="0">E5*F5</f>
        <v>5000</v>
      </c>
      <c r="H5" t="s">
        <v>12</v>
      </c>
    </row>
    <row r="6" spans="1:8">
      <c r="A6" t="s">
        <v>13</v>
      </c>
      <c r="B6" s="2">
        <v>46204</v>
      </c>
      <c r="C6" t="s">
        <v>14</v>
      </c>
      <c r="D6" t="s">
        <v>15</v>
      </c>
      <c r="E6">
        <v>3</v>
      </c>
      <c r="F6" s="3">
        <v>1200</v>
      </c>
      <c r="G6" s="3">
        <f t="shared" si="0"/>
        <v>3600</v>
      </c>
      <c r="H6" t="s">
        <v>16</v>
      </c>
    </row>
    <row r="7" spans="1:8">
      <c r="A7" t="s">
        <v>17</v>
      </c>
      <c r="B7" s="2">
        <v>46204</v>
      </c>
      <c r="C7" t="s">
        <v>10</v>
      </c>
      <c r="D7" t="s">
        <v>18</v>
      </c>
      <c r="E7">
        <v>5</v>
      </c>
      <c r="F7" s="3">
        <v>300</v>
      </c>
      <c r="G7" s="3">
        <f t="shared" si="0"/>
        <v>1500</v>
      </c>
      <c r="H7" t="s">
        <v>19</v>
      </c>
    </row>
    <row r="8" spans="1:8">
      <c r="A8" t="s">
        <v>20</v>
      </c>
      <c r="B8" s="2">
        <v>46204</v>
      </c>
      <c r="C8" t="s">
        <v>21</v>
      </c>
      <c r="D8" t="s">
        <v>22</v>
      </c>
      <c r="E8">
        <v>2</v>
      </c>
      <c r="F8" s="3">
        <v>1800</v>
      </c>
      <c r="G8" s="3">
        <f t="shared" si="0"/>
        <v>3600</v>
      </c>
      <c r="H8" t="s">
        <v>12</v>
      </c>
    </row>
    <row r="9" spans="1:8">
      <c r="A9" t="s">
        <v>23</v>
      </c>
      <c r="B9" s="2">
        <v>46205</v>
      </c>
      <c r="C9" t="s">
        <v>14</v>
      </c>
      <c r="D9" t="s">
        <v>11</v>
      </c>
      <c r="E9">
        <v>1</v>
      </c>
      <c r="F9" s="3">
        <v>4000</v>
      </c>
      <c r="G9" s="3">
        <f t="shared" si="0"/>
        <v>4000</v>
      </c>
      <c r="H9" t="s">
        <v>16</v>
      </c>
    </row>
    <row r="10" spans="1:8">
      <c r="A10" t="s">
        <v>24</v>
      </c>
      <c r="B10" s="2">
        <v>46205</v>
      </c>
      <c r="C10" t="s">
        <v>25</v>
      </c>
      <c r="D10" t="s">
        <v>15</v>
      </c>
      <c r="E10">
        <v>4</v>
      </c>
      <c r="F10" s="3">
        <v>800</v>
      </c>
      <c r="G10" s="3">
        <f t="shared" si="0"/>
        <v>3200</v>
      </c>
      <c r="H10" t="s">
        <v>12</v>
      </c>
    </row>
    <row r="11" spans="1:8">
      <c r="A11" t="s">
        <v>26</v>
      </c>
      <c r="B11" s="2">
        <v>46205</v>
      </c>
      <c r="C11" t="s">
        <v>10</v>
      </c>
      <c r="D11" t="s">
        <v>22</v>
      </c>
      <c r="E11">
        <v>1</v>
      </c>
      <c r="F11" s="3">
        <v>2200</v>
      </c>
      <c r="G11" s="3">
        <f t="shared" si="0"/>
        <v>2200</v>
      </c>
      <c r="H11" t="s">
        <v>27</v>
      </c>
    </row>
    <row r="12" spans="1:8">
      <c r="A12" t="s">
        <v>28</v>
      </c>
      <c r="B12" s="2">
        <v>46205</v>
      </c>
      <c r="C12" t="s">
        <v>21</v>
      </c>
      <c r="D12" t="s">
        <v>18</v>
      </c>
      <c r="E12">
        <v>6</v>
      </c>
      <c r="F12" s="3">
        <v>250</v>
      </c>
      <c r="G12" s="3">
        <f t="shared" si="0"/>
        <v>1500</v>
      </c>
      <c r="H12" t="s">
        <v>19</v>
      </c>
    </row>
    <row r="13" spans="1:8">
      <c r="A13" t="s">
        <v>29</v>
      </c>
      <c r="B13" s="2">
        <v>46206</v>
      </c>
      <c r="C13" t="s">
        <v>25</v>
      </c>
      <c r="D13" t="s">
        <v>11</v>
      </c>
      <c r="E13">
        <v>2</v>
      </c>
      <c r="F13" s="3">
        <v>3000</v>
      </c>
      <c r="G13" s="3">
        <f t="shared" si="0"/>
        <v>6000</v>
      </c>
      <c r="H13" t="s">
        <v>16</v>
      </c>
    </row>
    <row r="14" spans="1:8">
      <c r="A14" t="s">
        <v>30</v>
      </c>
      <c r="B14" s="2">
        <v>46206</v>
      </c>
      <c r="C14" t="s">
        <v>14</v>
      </c>
      <c r="D14" t="s">
        <v>18</v>
      </c>
      <c r="E14">
        <v>8</v>
      </c>
      <c r="F14" s="3">
        <v>200</v>
      </c>
      <c r="G14" s="3">
        <f t="shared" si="0"/>
        <v>1600</v>
      </c>
      <c r="H14" t="s">
        <v>12</v>
      </c>
    </row>
    <row r="15" spans="1:8">
      <c r="A15" t="s">
        <v>31</v>
      </c>
      <c r="B15" s="2">
        <v>46206</v>
      </c>
      <c r="C15" t="s">
        <v>10</v>
      </c>
      <c r="D15" t="s">
        <v>15</v>
      </c>
      <c r="E15">
        <v>2</v>
      </c>
      <c r="F15" s="3">
        <v>1500</v>
      </c>
      <c r="G15" s="3">
        <f t="shared" si="0"/>
        <v>3000</v>
      </c>
      <c r="H15" t="s">
        <v>16</v>
      </c>
    </row>
    <row r="16" spans="1:8">
      <c r="A16" t="s">
        <v>32</v>
      </c>
      <c r="B16" s="2">
        <v>46206</v>
      </c>
      <c r="C16" t="s">
        <v>21</v>
      </c>
      <c r="D16" t="s">
        <v>11</v>
      </c>
      <c r="E16">
        <v>1</v>
      </c>
      <c r="F16" s="3">
        <v>5500</v>
      </c>
      <c r="G16" s="3">
        <f t="shared" si="0"/>
        <v>5500</v>
      </c>
      <c r="H16" t="s">
        <v>12</v>
      </c>
    </row>
    <row r="17" spans="1:8">
      <c r="A17" t="s">
        <v>33</v>
      </c>
      <c r="B17" s="2">
        <v>46207</v>
      </c>
      <c r="C17" t="s">
        <v>25</v>
      </c>
      <c r="D17" t="s">
        <v>22</v>
      </c>
      <c r="E17">
        <v>3</v>
      </c>
      <c r="F17" s="3">
        <v>1200</v>
      </c>
      <c r="G17" s="3">
        <f t="shared" si="0"/>
        <v>3600</v>
      </c>
      <c r="H17" t="s">
        <v>19</v>
      </c>
    </row>
    <row r="18" spans="1:8">
      <c r="A18" t="s">
        <v>34</v>
      </c>
      <c r="B18" s="2">
        <v>46207</v>
      </c>
      <c r="C18" t="s">
        <v>14</v>
      </c>
      <c r="D18" t="s">
        <v>22</v>
      </c>
      <c r="E18">
        <v>2</v>
      </c>
      <c r="F18" s="3">
        <v>2000</v>
      </c>
      <c r="G18" s="3">
        <f t="shared" si="0"/>
        <v>4000</v>
      </c>
      <c r="H18" t="s">
        <v>27</v>
      </c>
    </row>
    <row r="19" spans="1:8">
      <c r="A19" t="s">
        <v>35</v>
      </c>
      <c r="B19" s="2">
        <v>46207</v>
      </c>
      <c r="C19" t="s">
        <v>10</v>
      </c>
      <c r="D19" t="s">
        <v>11</v>
      </c>
      <c r="E19">
        <v>1</v>
      </c>
      <c r="F19" s="3">
        <v>6500</v>
      </c>
      <c r="G19" s="3">
        <f t="shared" si="0"/>
        <v>6500</v>
      </c>
      <c r="H19" t="s">
        <v>16</v>
      </c>
    </row>
    <row r="20" spans="1:8">
      <c r="A20" t="s">
        <v>36</v>
      </c>
      <c r="B20" s="2">
        <v>46207</v>
      </c>
      <c r="C20" t="s">
        <v>21</v>
      </c>
      <c r="D20" t="s">
        <v>15</v>
      </c>
      <c r="E20">
        <v>5</v>
      </c>
      <c r="F20" s="3">
        <v>900</v>
      </c>
      <c r="G20" s="3">
        <f t="shared" si="0"/>
        <v>4500</v>
      </c>
      <c r="H20" t="s">
        <v>12</v>
      </c>
    </row>
    <row r="21" spans="1:8">
      <c r="A21" t="s">
        <v>37</v>
      </c>
      <c r="B21" s="2">
        <v>46208</v>
      </c>
      <c r="C21" t="s">
        <v>25</v>
      </c>
      <c r="D21" t="s">
        <v>18</v>
      </c>
      <c r="E21">
        <v>10</v>
      </c>
      <c r="F21" s="3">
        <v>180</v>
      </c>
      <c r="G21" s="3">
        <f t="shared" si="0"/>
        <v>1800</v>
      </c>
      <c r="H21" t="s">
        <v>12</v>
      </c>
    </row>
    <row r="22" spans="1:8">
      <c r="A22" t="s">
        <v>38</v>
      </c>
      <c r="B22" s="2">
        <v>46208</v>
      </c>
      <c r="C22" t="s">
        <v>14</v>
      </c>
      <c r="D22" t="s">
        <v>15</v>
      </c>
      <c r="E22">
        <v>2</v>
      </c>
      <c r="F22" s="3">
        <v>1700</v>
      </c>
      <c r="G22" s="3">
        <f t="shared" si="0"/>
        <v>3400</v>
      </c>
      <c r="H22" t="s">
        <v>19</v>
      </c>
    </row>
    <row r="23" spans="1:8">
      <c r="A23" t="s">
        <v>39</v>
      </c>
      <c r="B23" s="2">
        <v>46208</v>
      </c>
      <c r="C23" t="s">
        <v>10</v>
      </c>
      <c r="D23" t="s">
        <v>18</v>
      </c>
      <c r="E23">
        <v>7</v>
      </c>
      <c r="F23" s="3">
        <v>220</v>
      </c>
      <c r="G23" s="3">
        <f t="shared" si="0"/>
        <v>1540</v>
      </c>
      <c r="H23" t="s">
        <v>12</v>
      </c>
    </row>
    <row r="24" spans="1:8">
      <c r="A24" t="s">
        <v>40</v>
      </c>
      <c r="B24" s="2">
        <v>46208</v>
      </c>
      <c r="C24" t="s">
        <v>21</v>
      </c>
      <c r="D24" t="s">
        <v>22</v>
      </c>
      <c r="E24">
        <v>1</v>
      </c>
      <c r="F24" s="3">
        <v>3200</v>
      </c>
      <c r="G24" s="3">
        <f t="shared" si="0"/>
        <v>3200</v>
      </c>
      <c r="H24" t="s">
        <v>16</v>
      </c>
    </row>
    <row r="25" spans="1:8">
      <c r="A25" t="s">
        <v>41</v>
      </c>
      <c r="B25" s="2">
        <v>46209</v>
      </c>
      <c r="C25" t="s">
        <v>25</v>
      </c>
      <c r="D25" t="s">
        <v>11</v>
      </c>
      <c r="E25">
        <v>1</v>
      </c>
      <c r="F25" s="3">
        <v>7200</v>
      </c>
      <c r="G25" s="3">
        <f t="shared" si="0"/>
        <v>7200</v>
      </c>
      <c r="H25" t="s">
        <v>16</v>
      </c>
    </row>
    <row r="26" spans="1:8">
      <c r="A26" t="s">
        <v>42</v>
      </c>
      <c r="B26" s="2">
        <v>46209</v>
      </c>
      <c r="C26" t="s">
        <v>14</v>
      </c>
      <c r="D26" t="s">
        <v>11</v>
      </c>
      <c r="E26">
        <v>2</v>
      </c>
      <c r="F26" s="3">
        <v>2800</v>
      </c>
      <c r="G26" s="3">
        <f t="shared" si="0"/>
        <v>5600</v>
      </c>
      <c r="H26" t="s">
        <v>12</v>
      </c>
    </row>
    <row r="27" spans="1:8">
      <c r="A27" t="s">
        <v>43</v>
      </c>
      <c r="B27" s="2">
        <v>46209</v>
      </c>
      <c r="C27" t="s">
        <v>10</v>
      </c>
      <c r="D27" t="s">
        <v>15</v>
      </c>
      <c r="E27">
        <v>3</v>
      </c>
      <c r="F27" s="3">
        <v>1100</v>
      </c>
      <c r="G27" s="3">
        <f t="shared" si="0"/>
        <v>3300</v>
      </c>
      <c r="H27" t="s">
        <v>27</v>
      </c>
    </row>
    <row r="28" spans="1:8">
      <c r="A28" t="s">
        <v>44</v>
      </c>
      <c r="B28" s="2">
        <v>46209</v>
      </c>
      <c r="C28" t="s">
        <v>21</v>
      </c>
      <c r="D28" t="s">
        <v>18</v>
      </c>
      <c r="E28">
        <v>9</v>
      </c>
      <c r="F28" s="3">
        <v>160</v>
      </c>
      <c r="G28" s="3">
        <f t="shared" si="0"/>
        <v>1440</v>
      </c>
      <c r="H28" t="s">
        <v>19</v>
      </c>
    </row>
  </sheetData>
  <mergeCells count="1">
    <mergeCell ref="A1:H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selection sqref="A1:F2"/>
    </sheetView>
  </sheetViews>
  <sheetFormatPr baseColWidth="10" defaultColWidth="8.83203125" defaultRowHeight="14"/>
  <cols>
    <col min="1" max="1" width="15" customWidth="1"/>
    <col min="2" max="3" width="16" customWidth="1"/>
    <col min="4" max="5" width="14" customWidth="1"/>
    <col min="6" max="6" width="25" customWidth="1"/>
  </cols>
  <sheetData>
    <row r="1" spans="1:6">
      <c r="A1" s="4" t="s">
        <v>45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4" spans="1:6" ht="15">
      <c r="A4" s="1" t="s">
        <v>1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</row>
    <row r="5" spans="1:6">
      <c r="A5" t="str">
        <f>'1_Raw_Data'!A5</f>
        <v>TXN001</v>
      </c>
      <c r="B5" t="str">
        <f>'1_Raw_Data'!C5</f>
        <v>Mumbai</v>
      </c>
      <c r="C5" s="3">
        <f>'1_Raw_Data'!G5</f>
        <v>5000</v>
      </c>
      <c r="D5" s="3" t="str">
        <f t="shared" ref="D5:D28" si="0">B5</f>
        <v>Mumbai</v>
      </c>
      <c r="E5" s="3">
        <f t="shared" ref="E5:E28" si="1">C5</f>
        <v>5000</v>
      </c>
      <c r="F5" t="str">
        <f t="shared" ref="F5:F28" si="2">D5&amp;" → ₹"&amp;TEXT(E5,"#,##0")</f>
        <v>Mumbai → ₹5,000</v>
      </c>
    </row>
    <row r="6" spans="1:6">
      <c r="A6" t="str">
        <f>'1_Raw_Data'!A6</f>
        <v>TXN002</v>
      </c>
      <c r="B6" t="str">
        <f>'1_Raw_Data'!C6</f>
        <v>Delhi</v>
      </c>
      <c r="C6" s="3">
        <f>'1_Raw_Data'!G6</f>
        <v>3600</v>
      </c>
      <c r="D6" s="3" t="str">
        <f t="shared" si="0"/>
        <v>Delhi</v>
      </c>
      <c r="E6" s="3">
        <f t="shared" si="1"/>
        <v>3600</v>
      </c>
      <c r="F6" t="str">
        <f t="shared" si="2"/>
        <v>Delhi → ₹3,600</v>
      </c>
    </row>
    <row r="7" spans="1:6">
      <c r="A7" t="str">
        <f>'1_Raw_Data'!A7</f>
        <v>TXN003</v>
      </c>
      <c r="B7" t="str">
        <f>'1_Raw_Data'!C7</f>
        <v>Mumbai</v>
      </c>
      <c r="C7" s="3">
        <f>'1_Raw_Data'!G7</f>
        <v>1500</v>
      </c>
      <c r="D7" s="3" t="str">
        <f t="shared" si="0"/>
        <v>Mumbai</v>
      </c>
      <c r="E7" s="3">
        <f t="shared" si="1"/>
        <v>1500</v>
      </c>
      <c r="F7" t="str">
        <f t="shared" si="2"/>
        <v>Mumbai → ₹1,500</v>
      </c>
    </row>
    <row r="8" spans="1:6">
      <c r="A8" t="str">
        <f>'1_Raw_Data'!A8</f>
        <v>TXN004</v>
      </c>
      <c r="B8" t="str">
        <f>'1_Raw_Data'!C8</f>
        <v>Bengaluru</v>
      </c>
      <c r="C8" s="3">
        <f>'1_Raw_Data'!G8</f>
        <v>3600</v>
      </c>
      <c r="D8" s="3" t="str">
        <f t="shared" si="0"/>
        <v>Bengaluru</v>
      </c>
      <c r="E8" s="3">
        <f t="shared" si="1"/>
        <v>3600</v>
      </c>
      <c r="F8" t="str">
        <f t="shared" si="2"/>
        <v>Bengaluru → ₹3,600</v>
      </c>
    </row>
    <row r="9" spans="1:6">
      <c r="A9" t="str">
        <f>'1_Raw_Data'!A9</f>
        <v>TXN005</v>
      </c>
      <c r="B9" t="str">
        <f>'1_Raw_Data'!C9</f>
        <v>Delhi</v>
      </c>
      <c r="C9" s="3">
        <f>'1_Raw_Data'!G9</f>
        <v>4000</v>
      </c>
      <c r="D9" s="3" t="str">
        <f t="shared" si="0"/>
        <v>Delhi</v>
      </c>
      <c r="E9" s="3">
        <f t="shared" si="1"/>
        <v>4000</v>
      </c>
      <c r="F9" t="str">
        <f t="shared" si="2"/>
        <v>Delhi → ₹4,000</v>
      </c>
    </row>
    <row r="10" spans="1:6">
      <c r="A10" t="str">
        <f>'1_Raw_Data'!A10</f>
        <v>TXN006</v>
      </c>
      <c r="B10" t="str">
        <f>'1_Raw_Data'!C10</f>
        <v>Chennai</v>
      </c>
      <c r="C10" s="3">
        <f>'1_Raw_Data'!G10</f>
        <v>3200</v>
      </c>
      <c r="D10" s="3" t="str">
        <f t="shared" si="0"/>
        <v>Chennai</v>
      </c>
      <c r="E10" s="3">
        <f t="shared" si="1"/>
        <v>3200</v>
      </c>
      <c r="F10" t="str">
        <f t="shared" si="2"/>
        <v>Chennai → ₹3,200</v>
      </c>
    </row>
    <row r="11" spans="1:6">
      <c r="A11" t="str">
        <f>'1_Raw_Data'!A11</f>
        <v>TXN007</v>
      </c>
      <c r="B11" t="str">
        <f>'1_Raw_Data'!C11</f>
        <v>Mumbai</v>
      </c>
      <c r="C11" s="3">
        <f>'1_Raw_Data'!G11</f>
        <v>2200</v>
      </c>
      <c r="D11" s="3" t="str">
        <f t="shared" si="0"/>
        <v>Mumbai</v>
      </c>
      <c r="E11" s="3">
        <f t="shared" si="1"/>
        <v>2200</v>
      </c>
      <c r="F11" t="str">
        <f t="shared" si="2"/>
        <v>Mumbai → ₹2,200</v>
      </c>
    </row>
    <row r="12" spans="1:6">
      <c r="A12" t="str">
        <f>'1_Raw_Data'!A12</f>
        <v>TXN008</v>
      </c>
      <c r="B12" t="str">
        <f>'1_Raw_Data'!C12</f>
        <v>Bengaluru</v>
      </c>
      <c r="C12" s="3">
        <f>'1_Raw_Data'!G12</f>
        <v>1500</v>
      </c>
      <c r="D12" s="3" t="str">
        <f t="shared" si="0"/>
        <v>Bengaluru</v>
      </c>
      <c r="E12" s="3">
        <f t="shared" si="1"/>
        <v>1500</v>
      </c>
      <c r="F12" t="str">
        <f t="shared" si="2"/>
        <v>Bengaluru → ₹1,500</v>
      </c>
    </row>
    <row r="13" spans="1:6">
      <c r="A13" t="str">
        <f>'1_Raw_Data'!A13</f>
        <v>TXN009</v>
      </c>
      <c r="B13" t="str">
        <f>'1_Raw_Data'!C13</f>
        <v>Chennai</v>
      </c>
      <c r="C13" s="3">
        <f>'1_Raw_Data'!G13</f>
        <v>6000</v>
      </c>
      <c r="D13" s="3" t="str">
        <f t="shared" si="0"/>
        <v>Chennai</v>
      </c>
      <c r="E13" s="3">
        <f t="shared" si="1"/>
        <v>6000</v>
      </c>
      <c r="F13" t="str">
        <f t="shared" si="2"/>
        <v>Chennai → ₹6,000</v>
      </c>
    </row>
    <row r="14" spans="1:6">
      <c r="A14" t="str">
        <f>'1_Raw_Data'!A14</f>
        <v>TXN010</v>
      </c>
      <c r="B14" t="str">
        <f>'1_Raw_Data'!C14</f>
        <v>Delhi</v>
      </c>
      <c r="C14" s="3">
        <f>'1_Raw_Data'!G14</f>
        <v>1600</v>
      </c>
      <c r="D14" s="3" t="str">
        <f t="shared" si="0"/>
        <v>Delhi</v>
      </c>
      <c r="E14" s="3">
        <f t="shared" si="1"/>
        <v>1600</v>
      </c>
      <c r="F14" t="str">
        <f t="shared" si="2"/>
        <v>Delhi → ₹1,600</v>
      </c>
    </row>
    <row r="15" spans="1:6">
      <c r="A15" t="str">
        <f>'1_Raw_Data'!A15</f>
        <v>TXN011</v>
      </c>
      <c r="B15" t="str">
        <f>'1_Raw_Data'!C15</f>
        <v>Mumbai</v>
      </c>
      <c r="C15" s="3">
        <f>'1_Raw_Data'!G15</f>
        <v>3000</v>
      </c>
      <c r="D15" s="3" t="str">
        <f t="shared" si="0"/>
        <v>Mumbai</v>
      </c>
      <c r="E15" s="3">
        <f t="shared" si="1"/>
        <v>3000</v>
      </c>
      <c r="F15" t="str">
        <f t="shared" si="2"/>
        <v>Mumbai → ₹3,000</v>
      </c>
    </row>
    <row r="16" spans="1:6">
      <c r="A16" t="str">
        <f>'1_Raw_Data'!A16</f>
        <v>TXN012</v>
      </c>
      <c r="B16" t="str">
        <f>'1_Raw_Data'!C16</f>
        <v>Bengaluru</v>
      </c>
      <c r="C16" s="3">
        <f>'1_Raw_Data'!G16</f>
        <v>5500</v>
      </c>
      <c r="D16" s="3" t="str">
        <f t="shared" si="0"/>
        <v>Bengaluru</v>
      </c>
      <c r="E16" s="3">
        <f t="shared" si="1"/>
        <v>5500</v>
      </c>
      <c r="F16" t="str">
        <f t="shared" si="2"/>
        <v>Bengaluru → ₹5,500</v>
      </c>
    </row>
    <row r="17" spans="1:6">
      <c r="A17" t="str">
        <f>'1_Raw_Data'!A17</f>
        <v>TXN013</v>
      </c>
      <c r="B17" t="str">
        <f>'1_Raw_Data'!C17</f>
        <v>Chennai</v>
      </c>
      <c r="C17" s="3">
        <f>'1_Raw_Data'!G17</f>
        <v>3600</v>
      </c>
      <c r="D17" s="3" t="str">
        <f t="shared" si="0"/>
        <v>Chennai</v>
      </c>
      <c r="E17" s="3">
        <f t="shared" si="1"/>
        <v>3600</v>
      </c>
      <c r="F17" t="str">
        <f t="shared" si="2"/>
        <v>Chennai → ₹3,600</v>
      </c>
    </row>
    <row r="18" spans="1:6">
      <c r="A18" t="str">
        <f>'1_Raw_Data'!A18</f>
        <v>TXN014</v>
      </c>
      <c r="B18" t="str">
        <f>'1_Raw_Data'!C18</f>
        <v>Delhi</v>
      </c>
      <c r="C18" s="3">
        <f>'1_Raw_Data'!G18</f>
        <v>4000</v>
      </c>
      <c r="D18" s="3" t="str">
        <f t="shared" si="0"/>
        <v>Delhi</v>
      </c>
      <c r="E18" s="3">
        <f t="shared" si="1"/>
        <v>4000</v>
      </c>
      <c r="F18" t="str">
        <f t="shared" si="2"/>
        <v>Delhi → ₹4,000</v>
      </c>
    </row>
    <row r="19" spans="1:6">
      <c r="A19" t="str">
        <f>'1_Raw_Data'!A19</f>
        <v>TXN015</v>
      </c>
      <c r="B19" t="str">
        <f>'1_Raw_Data'!C19</f>
        <v>Mumbai</v>
      </c>
      <c r="C19" s="3">
        <f>'1_Raw_Data'!G19</f>
        <v>6500</v>
      </c>
      <c r="D19" s="3" t="str">
        <f t="shared" si="0"/>
        <v>Mumbai</v>
      </c>
      <c r="E19" s="3">
        <f t="shared" si="1"/>
        <v>6500</v>
      </c>
      <c r="F19" t="str">
        <f t="shared" si="2"/>
        <v>Mumbai → ₹6,500</v>
      </c>
    </row>
    <row r="20" spans="1:6">
      <c r="A20" t="str">
        <f>'1_Raw_Data'!A20</f>
        <v>TXN016</v>
      </c>
      <c r="B20" t="str">
        <f>'1_Raw_Data'!C20</f>
        <v>Bengaluru</v>
      </c>
      <c r="C20" s="3">
        <f>'1_Raw_Data'!G20</f>
        <v>4500</v>
      </c>
      <c r="D20" s="3" t="str">
        <f t="shared" si="0"/>
        <v>Bengaluru</v>
      </c>
      <c r="E20" s="3">
        <f t="shared" si="1"/>
        <v>4500</v>
      </c>
      <c r="F20" t="str">
        <f t="shared" si="2"/>
        <v>Bengaluru → ₹4,500</v>
      </c>
    </row>
    <row r="21" spans="1:6">
      <c r="A21" t="str">
        <f>'1_Raw_Data'!A21</f>
        <v>TXN017</v>
      </c>
      <c r="B21" t="str">
        <f>'1_Raw_Data'!C21</f>
        <v>Chennai</v>
      </c>
      <c r="C21" s="3">
        <f>'1_Raw_Data'!G21</f>
        <v>1800</v>
      </c>
      <c r="D21" s="3" t="str">
        <f t="shared" si="0"/>
        <v>Chennai</v>
      </c>
      <c r="E21" s="3">
        <f t="shared" si="1"/>
        <v>1800</v>
      </c>
      <c r="F21" t="str">
        <f t="shared" si="2"/>
        <v>Chennai → ₹1,800</v>
      </c>
    </row>
    <row r="22" spans="1:6">
      <c r="A22" t="str">
        <f>'1_Raw_Data'!A22</f>
        <v>TXN018</v>
      </c>
      <c r="B22" t="str">
        <f>'1_Raw_Data'!C22</f>
        <v>Delhi</v>
      </c>
      <c r="C22" s="3">
        <f>'1_Raw_Data'!G22</f>
        <v>3400</v>
      </c>
      <c r="D22" s="3" t="str">
        <f t="shared" si="0"/>
        <v>Delhi</v>
      </c>
      <c r="E22" s="3">
        <f t="shared" si="1"/>
        <v>3400</v>
      </c>
      <c r="F22" t="str">
        <f t="shared" si="2"/>
        <v>Delhi → ₹3,400</v>
      </c>
    </row>
    <row r="23" spans="1:6">
      <c r="A23" t="str">
        <f>'1_Raw_Data'!A23</f>
        <v>TXN019</v>
      </c>
      <c r="B23" t="str">
        <f>'1_Raw_Data'!C23</f>
        <v>Mumbai</v>
      </c>
      <c r="C23" s="3">
        <f>'1_Raw_Data'!G23</f>
        <v>1540</v>
      </c>
      <c r="D23" s="3" t="str">
        <f t="shared" si="0"/>
        <v>Mumbai</v>
      </c>
      <c r="E23" s="3">
        <f t="shared" si="1"/>
        <v>1540</v>
      </c>
      <c r="F23" t="str">
        <f t="shared" si="2"/>
        <v>Mumbai → ₹1,540</v>
      </c>
    </row>
    <row r="24" spans="1:6">
      <c r="A24" t="str">
        <f>'1_Raw_Data'!A24</f>
        <v>TXN020</v>
      </c>
      <c r="B24" t="str">
        <f>'1_Raw_Data'!C24</f>
        <v>Bengaluru</v>
      </c>
      <c r="C24" s="3">
        <f>'1_Raw_Data'!G24</f>
        <v>3200</v>
      </c>
      <c r="D24" s="3" t="str">
        <f t="shared" si="0"/>
        <v>Bengaluru</v>
      </c>
      <c r="E24" s="3">
        <f t="shared" si="1"/>
        <v>3200</v>
      </c>
      <c r="F24" t="str">
        <f t="shared" si="2"/>
        <v>Bengaluru → ₹3,200</v>
      </c>
    </row>
    <row r="25" spans="1:6">
      <c r="A25" t="str">
        <f>'1_Raw_Data'!A25</f>
        <v>TXN021</v>
      </c>
      <c r="B25" t="str">
        <f>'1_Raw_Data'!C25</f>
        <v>Chennai</v>
      </c>
      <c r="C25" s="3">
        <f>'1_Raw_Data'!G25</f>
        <v>7200</v>
      </c>
      <c r="D25" s="3" t="str">
        <f t="shared" si="0"/>
        <v>Chennai</v>
      </c>
      <c r="E25" s="3">
        <f t="shared" si="1"/>
        <v>7200</v>
      </c>
      <c r="F25" t="str">
        <f t="shared" si="2"/>
        <v>Chennai → ₹7,200</v>
      </c>
    </row>
    <row r="26" spans="1:6">
      <c r="A26" t="str">
        <f>'1_Raw_Data'!A26</f>
        <v>TXN022</v>
      </c>
      <c r="B26" t="str">
        <f>'1_Raw_Data'!C26</f>
        <v>Delhi</v>
      </c>
      <c r="C26" s="3">
        <f>'1_Raw_Data'!G26</f>
        <v>5600</v>
      </c>
      <c r="D26" s="3" t="str">
        <f t="shared" si="0"/>
        <v>Delhi</v>
      </c>
      <c r="E26" s="3">
        <f t="shared" si="1"/>
        <v>5600</v>
      </c>
      <c r="F26" t="str">
        <f t="shared" si="2"/>
        <v>Delhi → ₹5,600</v>
      </c>
    </row>
    <row r="27" spans="1:6">
      <c r="A27" t="str">
        <f>'1_Raw_Data'!A27</f>
        <v>TXN023</v>
      </c>
      <c r="B27" t="str">
        <f>'1_Raw_Data'!C27</f>
        <v>Mumbai</v>
      </c>
      <c r="C27" s="3">
        <f>'1_Raw_Data'!G27</f>
        <v>3300</v>
      </c>
      <c r="D27" s="3" t="str">
        <f t="shared" si="0"/>
        <v>Mumbai</v>
      </c>
      <c r="E27" s="3">
        <f t="shared" si="1"/>
        <v>3300</v>
      </c>
      <c r="F27" t="str">
        <f t="shared" si="2"/>
        <v>Mumbai → ₹3,300</v>
      </c>
    </row>
    <row r="28" spans="1:6">
      <c r="A28" t="str">
        <f>'1_Raw_Data'!A28</f>
        <v>TXN024</v>
      </c>
      <c r="B28" t="str">
        <f>'1_Raw_Data'!C28</f>
        <v>Bengaluru</v>
      </c>
      <c r="C28" s="3">
        <f>'1_Raw_Data'!G28</f>
        <v>1440</v>
      </c>
      <c r="D28" s="3" t="str">
        <f t="shared" si="0"/>
        <v>Bengaluru</v>
      </c>
      <c r="E28" s="3">
        <f t="shared" si="1"/>
        <v>1440</v>
      </c>
      <c r="F28" t="str">
        <f t="shared" si="2"/>
        <v>Bengaluru → ₹1,440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>
      <selection activeCell="B21" sqref="B21"/>
    </sheetView>
  </sheetViews>
  <sheetFormatPr baseColWidth="10" defaultColWidth="8.83203125" defaultRowHeight="14"/>
  <cols>
    <col min="1" max="1" width="15" customWidth="1"/>
    <col min="2" max="2" width="16" customWidth="1"/>
    <col min="3" max="3" width="18" customWidth="1"/>
    <col min="4" max="4" width="28" customWidth="1"/>
  </cols>
  <sheetData>
    <row r="1" spans="1:4">
      <c r="A1" s="4" t="s">
        <v>51</v>
      </c>
      <c r="B1" s="4"/>
      <c r="C1" s="4"/>
      <c r="D1" s="4"/>
    </row>
    <row r="2" spans="1:4">
      <c r="A2" s="4"/>
      <c r="B2" s="4"/>
      <c r="C2" s="4"/>
      <c r="D2" s="4"/>
    </row>
    <row r="4" spans="1:4" ht="15">
      <c r="A4" s="1" t="s">
        <v>52</v>
      </c>
      <c r="B4" s="1" t="s">
        <v>53</v>
      </c>
      <c r="C4" s="1" t="s">
        <v>54</v>
      </c>
      <c r="D4" s="1" t="s">
        <v>55</v>
      </c>
    </row>
    <row r="5" spans="1:4">
      <c r="A5" t="s">
        <v>21</v>
      </c>
      <c r="B5" s="3">
        <v>3600</v>
      </c>
      <c r="C5" t="s">
        <v>20</v>
      </c>
      <c r="D5" t="s">
        <v>56</v>
      </c>
    </row>
    <row r="6" spans="1:4">
      <c r="A6" t="s">
        <v>21</v>
      </c>
      <c r="B6" s="3">
        <v>1500</v>
      </c>
      <c r="C6" t="s">
        <v>28</v>
      </c>
      <c r="D6" t="s">
        <v>56</v>
      </c>
    </row>
    <row r="7" spans="1:4">
      <c r="A7" t="s">
        <v>21</v>
      </c>
      <c r="B7" s="3">
        <v>5500</v>
      </c>
      <c r="C7" t="s">
        <v>32</v>
      </c>
      <c r="D7" t="s">
        <v>56</v>
      </c>
    </row>
    <row r="8" spans="1:4">
      <c r="A8" t="s">
        <v>21</v>
      </c>
      <c r="B8" s="3">
        <v>4500</v>
      </c>
      <c r="C8" t="s">
        <v>36</v>
      </c>
      <c r="D8" t="s">
        <v>56</v>
      </c>
    </row>
    <row r="9" spans="1:4">
      <c r="A9" t="s">
        <v>21</v>
      </c>
      <c r="B9" s="3">
        <v>3200</v>
      </c>
      <c r="C9" t="s">
        <v>40</v>
      </c>
      <c r="D9" t="s">
        <v>56</v>
      </c>
    </row>
    <row r="10" spans="1:4">
      <c r="A10" t="s">
        <v>21</v>
      </c>
      <c r="B10" s="3">
        <v>1440</v>
      </c>
      <c r="C10" t="s">
        <v>44</v>
      </c>
      <c r="D10" t="s">
        <v>56</v>
      </c>
    </row>
    <row r="11" spans="1:4">
      <c r="A11" t="s">
        <v>25</v>
      </c>
      <c r="B11" s="3">
        <v>3200</v>
      </c>
      <c r="C11" t="s">
        <v>24</v>
      </c>
      <c r="D11" t="s">
        <v>57</v>
      </c>
    </row>
    <row r="12" spans="1:4">
      <c r="A12" t="s">
        <v>25</v>
      </c>
      <c r="B12" s="3">
        <v>6000</v>
      </c>
      <c r="C12" t="s">
        <v>29</v>
      </c>
      <c r="D12" t="s">
        <v>57</v>
      </c>
    </row>
    <row r="13" spans="1:4">
      <c r="A13" t="s">
        <v>25</v>
      </c>
      <c r="B13" s="3">
        <v>3600</v>
      </c>
      <c r="C13" t="s">
        <v>33</v>
      </c>
      <c r="D13" t="s">
        <v>57</v>
      </c>
    </row>
    <row r="14" spans="1:4">
      <c r="A14" t="s">
        <v>25</v>
      </c>
      <c r="B14" s="3">
        <v>1800</v>
      </c>
      <c r="C14" t="s">
        <v>37</v>
      </c>
      <c r="D14" t="s">
        <v>57</v>
      </c>
    </row>
    <row r="15" spans="1:4">
      <c r="A15" t="s">
        <v>25</v>
      </c>
      <c r="B15" s="3">
        <v>7200</v>
      </c>
      <c r="C15" t="s">
        <v>41</v>
      </c>
      <c r="D15" t="s">
        <v>57</v>
      </c>
    </row>
    <row r="16" spans="1:4">
      <c r="A16" t="s">
        <v>14</v>
      </c>
      <c r="B16" s="3">
        <v>3600</v>
      </c>
      <c r="C16" t="s">
        <v>13</v>
      </c>
      <c r="D16" t="s">
        <v>58</v>
      </c>
    </row>
    <row r="17" spans="1:4">
      <c r="A17" t="s">
        <v>14</v>
      </c>
      <c r="B17" s="3">
        <v>4000</v>
      </c>
      <c r="C17" t="s">
        <v>23</v>
      </c>
      <c r="D17" t="s">
        <v>58</v>
      </c>
    </row>
    <row r="18" spans="1:4">
      <c r="A18" t="s">
        <v>14</v>
      </c>
      <c r="B18" s="3">
        <v>1600</v>
      </c>
      <c r="C18" t="s">
        <v>30</v>
      </c>
      <c r="D18" t="s">
        <v>58</v>
      </c>
    </row>
    <row r="19" spans="1:4">
      <c r="A19" t="s">
        <v>14</v>
      </c>
      <c r="B19" s="3">
        <v>4000</v>
      </c>
      <c r="C19" t="s">
        <v>34</v>
      </c>
      <c r="D19" t="s">
        <v>58</v>
      </c>
    </row>
    <row r="20" spans="1:4">
      <c r="A20" t="s">
        <v>14</v>
      </c>
      <c r="B20" s="3">
        <v>3400</v>
      </c>
      <c r="C20" t="s">
        <v>38</v>
      </c>
      <c r="D20" t="s">
        <v>58</v>
      </c>
    </row>
    <row r="21" spans="1:4">
      <c r="A21" t="s">
        <v>14</v>
      </c>
      <c r="B21" s="3">
        <v>5600</v>
      </c>
      <c r="C21" t="s">
        <v>42</v>
      </c>
      <c r="D21" t="s">
        <v>58</v>
      </c>
    </row>
    <row r="22" spans="1:4">
      <c r="A22" t="s">
        <v>10</v>
      </c>
      <c r="B22" s="3">
        <v>5000</v>
      </c>
      <c r="C22" t="s">
        <v>9</v>
      </c>
      <c r="D22" t="s">
        <v>59</v>
      </c>
    </row>
    <row r="23" spans="1:4">
      <c r="A23" t="s">
        <v>10</v>
      </c>
      <c r="B23" s="3">
        <v>1500</v>
      </c>
      <c r="C23" t="s">
        <v>17</v>
      </c>
      <c r="D23" t="s">
        <v>59</v>
      </c>
    </row>
    <row r="24" spans="1:4">
      <c r="A24" t="s">
        <v>10</v>
      </c>
      <c r="B24" s="3">
        <v>2200</v>
      </c>
      <c r="C24" t="s">
        <v>26</v>
      </c>
      <c r="D24" t="s">
        <v>59</v>
      </c>
    </row>
    <row r="25" spans="1:4">
      <c r="A25" t="s">
        <v>10</v>
      </c>
      <c r="B25" s="3">
        <v>3000</v>
      </c>
      <c r="C25" t="s">
        <v>31</v>
      </c>
      <c r="D25" t="s">
        <v>59</v>
      </c>
    </row>
    <row r="26" spans="1:4">
      <c r="A26" t="s">
        <v>10</v>
      </c>
      <c r="B26" s="3">
        <v>6500</v>
      </c>
      <c r="C26" t="s">
        <v>35</v>
      </c>
      <c r="D26" t="s">
        <v>59</v>
      </c>
    </row>
    <row r="27" spans="1:4">
      <c r="A27" t="s">
        <v>10</v>
      </c>
      <c r="B27" s="3">
        <v>1540</v>
      </c>
      <c r="C27" t="s">
        <v>39</v>
      </c>
      <c r="D27" t="s">
        <v>59</v>
      </c>
    </row>
    <row r="28" spans="1:4">
      <c r="A28" t="s">
        <v>10</v>
      </c>
      <c r="B28" s="3">
        <v>3300</v>
      </c>
      <c r="C28" t="s">
        <v>43</v>
      </c>
      <c r="D28" t="s">
        <v>59</v>
      </c>
    </row>
  </sheetData>
  <mergeCells count="1">
    <mergeCell ref="A1:D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sqref="A1:G2"/>
    </sheetView>
  </sheetViews>
  <sheetFormatPr baseColWidth="10" defaultColWidth="8.83203125" defaultRowHeight="14"/>
  <cols>
    <col min="1" max="1" width="15" customWidth="1"/>
    <col min="2" max="2" width="16" customWidth="1"/>
    <col min="3" max="4" width="14" customWidth="1"/>
    <col min="5" max="5" width="22" customWidth="1"/>
    <col min="6" max="6" width="18" customWidth="1"/>
    <col min="7" max="7" width="14" customWidth="1"/>
  </cols>
  <sheetData>
    <row r="1" spans="1:7">
      <c r="A1" s="4" t="s">
        <v>60</v>
      </c>
      <c r="B1" s="4"/>
      <c r="C1" s="4"/>
      <c r="D1" s="4"/>
      <c r="E1" s="4"/>
      <c r="F1" s="4"/>
      <c r="G1" s="4"/>
    </row>
    <row r="2" spans="1:7">
      <c r="A2" s="4"/>
      <c r="B2" s="4"/>
      <c r="C2" s="4"/>
      <c r="D2" s="4"/>
      <c r="E2" s="4"/>
      <c r="F2" s="4"/>
      <c r="G2" s="4"/>
    </row>
    <row r="4" spans="1:7" ht="15">
      <c r="A4" s="1" t="s">
        <v>3</v>
      </c>
      <c r="B4" s="1" t="s">
        <v>61</v>
      </c>
      <c r="C4" s="1" t="s">
        <v>62</v>
      </c>
      <c r="D4" s="1" t="s">
        <v>63</v>
      </c>
      <c r="E4" s="1" t="s">
        <v>64</v>
      </c>
      <c r="F4" s="1" t="s">
        <v>65</v>
      </c>
      <c r="G4" s="1" t="s">
        <v>66</v>
      </c>
    </row>
    <row r="5" spans="1:7">
      <c r="A5" t="s">
        <v>21</v>
      </c>
      <c r="B5" s="3">
        <f>SUMIF('1_Raw_Data'!$C$5:$C$28,A5,'1_Raw_Data'!$G$5:$G$28)</f>
        <v>19740</v>
      </c>
      <c r="C5">
        <f>COUNTIF('1_Raw_Data'!$C$5:$C$28,A5)</f>
        <v>6</v>
      </c>
      <c r="D5">
        <f>SUMIF('1_Raw_Data'!$C$5:$C$28,A5,'1_Raw_Data'!$E$5:$E$28)</f>
        <v>24</v>
      </c>
      <c r="E5" s="3">
        <f>B5/C5</f>
        <v>3290</v>
      </c>
      <c r="F5" s="3">
        <v>19740</v>
      </c>
      <c r="G5" t="str">
        <f>IF(B5=F5,"CORRECT","ERROR")</f>
        <v>CORRECT</v>
      </c>
    </row>
    <row r="6" spans="1:7">
      <c r="A6" t="s">
        <v>25</v>
      </c>
      <c r="B6" s="3">
        <f>SUMIF('1_Raw_Data'!$C$5:$C$28,A6,'1_Raw_Data'!$G$5:$G$28)</f>
        <v>21800</v>
      </c>
      <c r="C6">
        <f>COUNTIF('1_Raw_Data'!$C$5:$C$28,A6)</f>
        <v>5</v>
      </c>
      <c r="D6">
        <f>SUMIF('1_Raw_Data'!$C$5:$C$28,A6,'1_Raw_Data'!$E$5:$E$28)</f>
        <v>20</v>
      </c>
      <c r="E6" s="3">
        <f>B6/C6</f>
        <v>4360</v>
      </c>
      <c r="F6" s="3">
        <v>21800</v>
      </c>
      <c r="G6" t="str">
        <f>IF(B6=F6,"CORRECT","ERROR")</f>
        <v>CORRECT</v>
      </c>
    </row>
    <row r="7" spans="1:7">
      <c r="A7" t="s">
        <v>14</v>
      </c>
      <c r="B7" s="3">
        <f>SUMIF('1_Raw_Data'!$C$5:$C$28,A7,'1_Raw_Data'!$G$5:$G$28)</f>
        <v>22200</v>
      </c>
      <c r="C7">
        <f>COUNTIF('1_Raw_Data'!$C$5:$C$28,A7)</f>
        <v>6</v>
      </c>
      <c r="D7">
        <f>SUMIF('1_Raw_Data'!$C$5:$C$28,A7,'1_Raw_Data'!$E$5:$E$28)</f>
        <v>18</v>
      </c>
      <c r="E7" s="3">
        <f>B7/C7</f>
        <v>3700</v>
      </c>
      <c r="F7" s="3">
        <v>22200</v>
      </c>
      <c r="G7" t="str">
        <f>IF(B7=F7,"CORRECT","ERROR")</f>
        <v>CORRECT</v>
      </c>
    </row>
    <row r="8" spans="1:7">
      <c r="A8" t="s">
        <v>10</v>
      </c>
      <c r="B8" s="3">
        <f>SUMIF('1_Raw_Data'!$C$5:$C$28,A8,'1_Raw_Data'!$G$5:$G$28)</f>
        <v>23040</v>
      </c>
      <c r="C8">
        <f>COUNTIF('1_Raw_Data'!$C$5:$C$28,A8)</f>
        <v>7</v>
      </c>
      <c r="D8">
        <f>SUMIF('1_Raw_Data'!$C$5:$C$28,A8,'1_Raw_Data'!$E$5:$E$28)</f>
        <v>21</v>
      </c>
      <c r="E8" s="3">
        <f>B8/C8</f>
        <v>3291.4285714285716</v>
      </c>
      <c r="F8" s="3">
        <v>23040</v>
      </c>
      <c r="G8" t="str">
        <f>IF(B8=F8,"CORRECT","ERROR")</f>
        <v>CORRECT</v>
      </c>
    </row>
    <row r="10" spans="1:7">
      <c r="A10" s="5" t="s">
        <v>67</v>
      </c>
      <c r="B10" s="5"/>
      <c r="C10" s="5"/>
      <c r="D10" s="5"/>
      <c r="E10" s="5"/>
      <c r="F10" s="5"/>
      <c r="G10" s="5"/>
    </row>
    <row r="11" spans="1:7">
      <c r="A11" s="5"/>
      <c r="B11" s="5"/>
      <c r="C11" s="5"/>
      <c r="D11" s="5"/>
      <c r="E11" s="5"/>
      <c r="F11" s="5"/>
      <c r="G11" s="5"/>
    </row>
  </sheetData>
  <mergeCells count="2">
    <mergeCell ref="A1:G2"/>
    <mergeCell ref="A10:G11"/>
  </mergeCells>
  <conditionalFormatting sqref="G5:G8">
    <cfRule type="expression" dxfId="1" priority="1">
      <formula>G5="CORRECT"</formula>
    </cfRule>
    <cfRule type="expression" dxfId="0" priority="2">
      <formula>G5="ERROR"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>
      <selection sqref="A1:D2"/>
    </sheetView>
  </sheetViews>
  <sheetFormatPr baseColWidth="10" defaultColWidth="8.83203125" defaultRowHeight="14"/>
  <cols>
    <col min="1" max="1" width="14" customWidth="1"/>
    <col min="2" max="2" width="35" customWidth="1"/>
    <col min="3" max="3" width="28" customWidth="1"/>
    <col min="4" max="4" width="20" customWidth="1"/>
  </cols>
  <sheetData>
    <row r="1" spans="1:4">
      <c r="A1" s="4" t="s">
        <v>68</v>
      </c>
      <c r="B1" s="4"/>
      <c r="C1" s="4"/>
      <c r="D1" s="4"/>
    </row>
    <row r="2" spans="1:4">
      <c r="A2" s="4"/>
      <c r="B2" s="4"/>
      <c r="C2" s="4"/>
      <c r="D2" s="4"/>
    </row>
    <row r="4" spans="1:4" ht="15">
      <c r="A4" s="1" t="s">
        <v>69</v>
      </c>
      <c r="B4" s="1" t="s">
        <v>70</v>
      </c>
      <c r="C4" s="1" t="s">
        <v>71</v>
      </c>
      <c r="D4" s="1" t="s">
        <v>72</v>
      </c>
    </row>
    <row r="5" spans="1:4">
      <c r="A5" t="s">
        <v>73</v>
      </c>
      <c r="B5" t="s">
        <v>74</v>
      </c>
      <c r="C5" t="s">
        <v>75</v>
      </c>
      <c r="D5" t="s">
        <v>76</v>
      </c>
    </row>
    <row r="6" spans="1:4">
      <c r="A6" t="s">
        <v>77</v>
      </c>
      <c r="B6" t="s">
        <v>78</v>
      </c>
      <c r="C6" t="s">
        <v>79</v>
      </c>
      <c r="D6" t="s">
        <v>80</v>
      </c>
    </row>
    <row r="7" spans="1:4">
      <c r="A7" t="s">
        <v>81</v>
      </c>
      <c r="B7" t="s">
        <v>82</v>
      </c>
      <c r="C7" t="s">
        <v>83</v>
      </c>
      <c r="D7" t="s">
        <v>84</v>
      </c>
    </row>
    <row r="8" spans="1:4">
      <c r="A8" t="s">
        <v>85</v>
      </c>
      <c r="B8" t="s">
        <v>86</v>
      </c>
      <c r="C8" t="s">
        <v>87</v>
      </c>
      <c r="D8" t="s">
        <v>88</v>
      </c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1_Raw_Data</vt:lpstr>
      <vt:lpstr>2_Map</vt:lpstr>
      <vt:lpstr>3_Shuffle</vt:lpstr>
      <vt:lpstr>4_Reduce</vt:lpstr>
      <vt:lpstr>5_Explanation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 Sark</cp:lastModifiedBy>
  <dcterms:modified xsi:type="dcterms:W3CDTF">2026-07-04T08:04:45Z</dcterms:modified>
</cp:coreProperties>
</file>